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jungchoi/git/bookdown_publish/"/>
    </mc:Choice>
  </mc:AlternateContent>
  <xr:revisionPtr revIDLastSave="0" documentId="8_{BA4D80DC-CE74-2340-9280-ABE444FA9733}" xr6:coauthVersionLast="47" xr6:coauthVersionMax="47" xr10:uidLastSave="{00000000-0000-0000-0000-000000000000}"/>
  <bookViews>
    <workbookView xWindow="19340" yWindow="5660" windowWidth="28300" windowHeight="17440" xr2:uid="{46C5A11F-A297-BF49-B401-2F9232963CC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K6" i="2"/>
  <c r="K5" i="2"/>
  <c r="I7" i="2"/>
  <c r="H7" i="2"/>
  <c r="G7" i="2"/>
  <c r="H29" i="2"/>
  <c r="H30" i="2"/>
  <c r="H28" i="2"/>
  <c r="I28" i="2" s="1"/>
  <c r="H19" i="2"/>
  <c r="H18" i="2"/>
  <c r="H17" i="2"/>
  <c r="H20" i="2" s="1"/>
  <c r="H8" i="2"/>
  <c r="I8" i="2"/>
  <c r="G8" i="2"/>
  <c r="F16" i="1"/>
  <c r="G16" i="1" s="1"/>
  <c r="H16" i="1" s="1"/>
  <c r="I12" i="1"/>
  <c r="H12" i="1"/>
  <c r="H3" i="1"/>
  <c r="H4" i="1"/>
  <c r="H5" i="1"/>
  <c r="H6" i="1"/>
  <c r="H7" i="1"/>
  <c r="H8" i="1"/>
  <c r="H9" i="1"/>
  <c r="H10" i="1"/>
  <c r="H11" i="1"/>
  <c r="H2" i="1"/>
  <c r="G1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1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12" i="1"/>
  <c r="B12" i="1"/>
  <c r="H13" i="2" l="1"/>
  <c r="H22" i="2"/>
  <c r="H23" i="2"/>
  <c r="H14" i="2"/>
  <c r="H24" i="2"/>
  <c r="H15" i="2" l="1"/>
  <c r="H25" i="2"/>
  <c r="H16" i="2"/>
</calcChain>
</file>

<file path=xl/sharedStrings.xml><?xml version="1.0" encoding="utf-8"?>
<sst xmlns="http://schemas.openxmlformats.org/spreadsheetml/2006/main" count="46" uniqueCount="24">
  <si>
    <t>ID</t>
  </si>
  <si>
    <t>ID</t>
    <phoneticPr fontId="2" type="noConversion"/>
  </si>
  <si>
    <t>X</t>
  </si>
  <si>
    <t>X</t>
    <phoneticPr fontId="2" type="noConversion"/>
  </si>
  <si>
    <t>Y</t>
  </si>
  <si>
    <t>Y</t>
    <phoneticPr fontId="2" type="noConversion"/>
  </si>
  <si>
    <t>X-ux</t>
    <phoneticPr fontId="2" type="noConversion"/>
  </si>
  <si>
    <t>Y-uy</t>
    <phoneticPr fontId="2" type="noConversion"/>
  </si>
  <si>
    <t>제곱</t>
    <phoneticPr fontId="2" type="noConversion"/>
  </si>
  <si>
    <t>G</t>
  </si>
  <si>
    <t>A</t>
  </si>
  <si>
    <t>B</t>
  </si>
  <si>
    <t>C</t>
  </si>
  <si>
    <t xml:space="preserve"> A</t>
    <phoneticPr fontId="2" type="noConversion"/>
  </si>
  <si>
    <t>B</t>
    <phoneticPr fontId="2" type="noConversion"/>
  </si>
  <si>
    <t>C</t>
    <phoneticPr fontId="2" type="noConversion"/>
  </si>
  <si>
    <t>집단간</t>
    <phoneticPr fontId="2" type="noConversion"/>
  </si>
  <si>
    <t>A</t>
    <phoneticPr fontId="2" type="noConversion"/>
  </si>
  <si>
    <t>집단평균</t>
    <phoneticPr fontId="2" type="noConversion"/>
  </si>
  <si>
    <t>총평균</t>
    <phoneticPr fontId="2" type="noConversion"/>
  </si>
  <si>
    <t>집단내</t>
    <phoneticPr fontId="2" type="noConversion"/>
  </si>
  <si>
    <t>집단간제곱합</t>
    <phoneticPr fontId="2" type="noConversion"/>
  </si>
  <si>
    <t>총편차</t>
    <phoneticPr fontId="2" type="noConversion"/>
  </si>
  <si>
    <t>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</si>
</sst>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6358-5C7E-8244-BBBD-8BBE67939F94}">
  <dimension ref="A1:I16"/>
  <sheetViews>
    <sheetView tabSelected="1" workbookViewId="0">
      <selection activeCell="G26" sqref="G26"/>
    </sheetView>
  </sheetViews>
  <sheetFormatPr baseColWidth="10" defaultRowHeight="18"/>
  <sheetData>
    <row r="1" spans="1:9">
      <c r="A1" t="s">
        <v>1</v>
      </c>
      <c r="B1" t="s">
        <v>3</v>
      </c>
      <c r="C1" t="s">
        <v>5</v>
      </c>
      <c r="D1" t="s">
        <v>6</v>
      </c>
      <c r="E1" t="s">
        <v>8</v>
      </c>
      <c r="F1" t="s">
        <v>7</v>
      </c>
      <c r="G1" t="s">
        <v>8</v>
      </c>
    </row>
    <row r="2" spans="1:9">
      <c r="A2">
        <v>1</v>
      </c>
      <c r="B2">
        <v>1</v>
      </c>
      <c r="C2">
        <v>15</v>
      </c>
      <c r="D2">
        <f>B2-$B$12</f>
        <v>-2.2999999999999998</v>
      </c>
      <c r="E2">
        <f>D2*D2</f>
        <v>5.2899999999999991</v>
      </c>
      <c r="F2">
        <f>C2-$C$12</f>
        <v>-39.5</v>
      </c>
      <c r="G2">
        <f>F2*F2</f>
        <v>1560.25</v>
      </c>
      <c r="H2">
        <f>D2*F2</f>
        <v>90.85</v>
      </c>
    </row>
    <row r="3" spans="1:9">
      <c r="A3">
        <v>2</v>
      </c>
      <c r="B3">
        <v>1</v>
      </c>
      <c r="C3">
        <v>30</v>
      </c>
      <c r="D3">
        <f t="shared" ref="D3:D11" si="0">B3-$B$12</f>
        <v>-2.2999999999999998</v>
      </c>
      <c r="E3">
        <f t="shared" ref="E3:E11" si="1">D3*D3</f>
        <v>5.2899999999999991</v>
      </c>
      <c r="F3">
        <f t="shared" ref="F3:F11" si="2">C3-$C$12</f>
        <v>-24.5</v>
      </c>
      <c r="G3">
        <f t="shared" ref="G3:G11" si="3">F3*F3</f>
        <v>600.25</v>
      </c>
      <c r="H3">
        <f t="shared" ref="H3:H11" si="4">D3*F3</f>
        <v>56.349999999999994</v>
      </c>
    </row>
    <row r="4" spans="1:9">
      <c r="A4">
        <v>3</v>
      </c>
      <c r="B4">
        <v>2</v>
      </c>
      <c r="C4">
        <v>45</v>
      </c>
      <c r="D4">
        <f t="shared" si="0"/>
        <v>-1.2999999999999998</v>
      </c>
      <c r="E4">
        <f t="shared" si="1"/>
        <v>1.6899999999999995</v>
      </c>
      <c r="F4">
        <f t="shared" si="2"/>
        <v>-9.5</v>
      </c>
      <c r="G4">
        <f t="shared" si="3"/>
        <v>90.25</v>
      </c>
      <c r="H4">
        <f t="shared" si="4"/>
        <v>12.349999999999998</v>
      </c>
    </row>
    <row r="5" spans="1:9">
      <c r="A5">
        <v>4</v>
      </c>
      <c r="B5">
        <v>3</v>
      </c>
      <c r="C5">
        <v>40</v>
      </c>
      <c r="D5">
        <f t="shared" si="0"/>
        <v>-0.29999999999999982</v>
      </c>
      <c r="E5">
        <f t="shared" si="1"/>
        <v>8.99999999999999E-2</v>
      </c>
      <c r="F5">
        <f t="shared" si="2"/>
        <v>-14.5</v>
      </c>
      <c r="G5">
        <f t="shared" si="3"/>
        <v>210.25</v>
      </c>
      <c r="H5">
        <f t="shared" si="4"/>
        <v>4.3499999999999979</v>
      </c>
    </row>
    <row r="6" spans="1:9">
      <c r="A6">
        <v>5</v>
      </c>
      <c r="B6">
        <v>3</v>
      </c>
      <c r="C6">
        <v>50</v>
      </c>
      <c r="D6">
        <f t="shared" si="0"/>
        <v>-0.29999999999999982</v>
      </c>
      <c r="E6">
        <f t="shared" si="1"/>
        <v>8.99999999999999E-2</v>
      </c>
      <c r="F6">
        <f t="shared" si="2"/>
        <v>-4.5</v>
      </c>
      <c r="G6">
        <f t="shared" si="3"/>
        <v>20.25</v>
      </c>
      <c r="H6">
        <f t="shared" si="4"/>
        <v>1.3499999999999992</v>
      </c>
    </row>
    <row r="7" spans="1:9">
      <c r="A7">
        <v>6</v>
      </c>
      <c r="B7">
        <v>2</v>
      </c>
      <c r="C7">
        <v>55</v>
      </c>
      <c r="D7">
        <f t="shared" si="0"/>
        <v>-1.2999999999999998</v>
      </c>
      <c r="E7">
        <f t="shared" si="1"/>
        <v>1.6899999999999995</v>
      </c>
      <c r="F7">
        <f t="shared" si="2"/>
        <v>0.5</v>
      </c>
      <c r="G7">
        <f t="shared" si="3"/>
        <v>0.25</v>
      </c>
      <c r="H7">
        <f t="shared" si="4"/>
        <v>-0.64999999999999991</v>
      </c>
    </row>
    <row r="8" spans="1:9">
      <c r="A8">
        <v>7</v>
      </c>
      <c r="B8">
        <v>4</v>
      </c>
      <c r="C8">
        <v>60</v>
      </c>
      <c r="D8">
        <f t="shared" si="0"/>
        <v>0.70000000000000018</v>
      </c>
      <c r="E8">
        <f t="shared" si="1"/>
        <v>0.49000000000000027</v>
      </c>
      <c r="F8">
        <f t="shared" si="2"/>
        <v>5.5</v>
      </c>
      <c r="G8">
        <f t="shared" si="3"/>
        <v>30.25</v>
      </c>
      <c r="H8">
        <f t="shared" si="4"/>
        <v>3.850000000000001</v>
      </c>
    </row>
    <row r="9" spans="1:9">
      <c r="A9">
        <v>8</v>
      </c>
      <c r="B9">
        <v>5</v>
      </c>
      <c r="C9">
        <v>70</v>
      </c>
      <c r="D9">
        <f t="shared" si="0"/>
        <v>1.7000000000000002</v>
      </c>
      <c r="E9">
        <f t="shared" si="1"/>
        <v>2.8900000000000006</v>
      </c>
      <c r="F9">
        <f t="shared" si="2"/>
        <v>15.5</v>
      </c>
      <c r="G9">
        <f t="shared" si="3"/>
        <v>240.25</v>
      </c>
      <c r="H9">
        <f t="shared" si="4"/>
        <v>26.35</v>
      </c>
    </row>
    <row r="10" spans="1:9">
      <c r="A10">
        <v>9</v>
      </c>
      <c r="B10">
        <v>5</v>
      </c>
      <c r="C10">
        <v>80</v>
      </c>
      <c r="D10">
        <f t="shared" si="0"/>
        <v>1.7000000000000002</v>
      </c>
      <c r="E10">
        <f t="shared" si="1"/>
        <v>2.8900000000000006</v>
      </c>
      <c r="F10">
        <f t="shared" si="2"/>
        <v>25.5</v>
      </c>
      <c r="G10">
        <f t="shared" si="3"/>
        <v>650.25</v>
      </c>
      <c r="H10">
        <f t="shared" si="4"/>
        <v>43.35</v>
      </c>
    </row>
    <row r="11" spans="1:9">
      <c r="A11">
        <v>10</v>
      </c>
      <c r="B11">
        <v>7</v>
      </c>
      <c r="C11">
        <v>100</v>
      </c>
      <c r="D11">
        <f t="shared" si="0"/>
        <v>3.7</v>
      </c>
      <c r="E11">
        <f t="shared" si="1"/>
        <v>13.690000000000001</v>
      </c>
      <c r="F11">
        <f t="shared" si="2"/>
        <v>45.5</v>
      </c>
      <c r="G11">
        <f t="shared" si="3"/>
        <v>2070.25</v>
      </c>
      <c r="H11">
        <f t="shared" si="4"/>
        <v>168.35</v>
      </c>
    </row>
    <row r="12" spans="1:9">
      <c r="B12">
        <f>AVERAGE(B2:B11)</f>
        <v>3.3</v>
      </c>
      <c r="C12">
        <f>AVERAGE(C2:C11)</f>
        <v>54.5</v>
      </c>
      <c r="E12">
        <f>SUM(E2:E11)</f>
        <v>34.099999999999994</v>
      </c>
      <c r="G12">
        <f>SUM(G2:G11)</f>
        <v>5472.5</v>
      </c>
      <c r="H12">
        <f>SUM(H2:H11)</f>
        <v>406.49999999999994</v>
      </c>
      <c r="I12">
        <f>SUM(I2:I11)</f>
        <v>0</v>
      </c>
    </row>
    <row r="16" spans="1:9">
      <c r="F16">
        <f>E12*G12</f>
        <v>186612.24999999997</v>
      </c>
      <c r="G16">
        <f>SQRT(F16)</f>
        <v>431.9864002488967</v>
      </c>
      <c r="H16">
        <f>H12/G16</f>
        <v>0.94100184581224711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E23F-A56D-9F4B-9722-897FFD66D3BE}">
  <dimension ref="A1:K30"/>
  <sheetViews>
    <sheetView topLeftCell="C1" workbookViewId="0">
      <selection activeCell="N20" sqref="N20"/>
    </sheetView>
  </sheetViews>
  <sheetFormatPr baseColWidth="10" defaultRowHeight="18"/>
  <sheetData>
    <row r="1" spans="1:11">
      <c r="A1" s="1" t="s">
        <v>0</v>
      </c>
      <c r="B1" s="1" t="s">
        <v>2</v>
      </c>
      <c r="C1" s="1" t="s">
        <v>9</v>
      </c>
      <c r="D1" s="1" t="s">
        <v>4</v>
      </c>
      <c r="E1" s="1"/>
      <c r="G1" s="1" t="s">
        <v>13</v>
      </c>
      <c r="H1" s="1" t="s">
        <v>14</v>
      </c>
      <c r="I1" s="1" t="s">
        <v>15</v>
      </c>
    </row>
    <row r="2" spans="1:11">
      <c r="A2">
        <v>1</v>
      </c>
      <c r="B2">
        <v>1</v>
      </c>
      <c r="C2" t="s">
        <v>10</v>
      </c>
      <c r="D2">
        <v>7</v>
      </c>
      <c r="G2">
        <v>7</v>
      </c>
      <c r="H2">
        <v>8</v>
      </c>
      <c r="I2">
        <v>14</v>
      </c>
    </row>
    <row r="3" spans="1:11">
      <c r="A3">
        <v>2</v>
      </c>
      <c r="B3">
        <v>1</v>
      </c>
      <c r="C3" t="s">
        <v>10</v>
      </c>
      <c r="D3">
        <v>11</v>
      </c>
      <c r="G3">
        <v>11</v>
      </c>
      <c r="H3">
        <v>9</v>
      </c>
      <c r="I3">
        <v>15</v>
      </c>
    </row>
    <row r="4" spans="1:11">
      <c r="A4">
        <v>3</v>
      </c>
      <c r="B4">
        <v>1</v>
      </c>
      <c r="C4" t="s">
        <v>10</v>
      </c>
      <c r="D4">
        <v>13</v>
      </c>
      <c r="G4">
        <v>13</v>
      </c>
      <c r="H4">
        <v>14</v>
      </c>
      <c r="I4">
        <v>16</v>
      </c>
    </row>
    <row r="5" spans="1:11">
      <c r="A5">
        <v>4</v>
      </c>
      <c r="B5">
        <v>1</v>
      </c>
      <c r="C5" t="s">
        <v>10</v>
      </c>
      <c r="D5">
        <v>14</v>
      </c>
      <c r="G5">
        <v>14</v>
      </c>
      <c r="H5">
        <v>11</v>
      </c>
      <c r="I5">
        <v>14</v>
      </c>
      <c r="K5">
        <f>60+52+76</f>
        <v>188</v>
      </c>
    </row>
    <row r="6" spans="1:11">
      <c r="A6">
        <v>5</v>
      </c>
      <c r="B6">
        <v>1</v>
      </c>
      <c r="C6" t="s">
        <v>10</v>
      </c>
      <c r="D6">
        <v>15</v>
      </c>
      <c r="G6">
        <v>15</v>
      </c>
      <c r="H6">
        <v>10</v>
      </c>
      <c r="I6" s="2">
        <v>17</v>
      </c>
      <c r="K6">
        <f>188/15</f>
        <v>12.533333333333333</v>
      </c>
    </row>
    <row r="7" spans="1:11">
      <c r="F7" t="s">
        <v>23</v>
      </c>
      <c r="G7">
        <f>SUM(G2:G6)</f>
        <v>60</v>
      </c>
      <c r="H7">
        <f>SUM(H2:H6)</f>
        <v>52</v>
      </c>
      <c r="I7" s="2">
        <f>SUM(I2:I6)</f>
        <v>76</v>
      </c>
    </row>
    <row r="8" spans="1:11">
      <c r="A8">
        <v>6</v>
      </c>
      <c r="B8">
        <v>2</v>
      </c>
      <c r="C8" t="s">
        <v>11</v>
      </c>
      <c r="D8">
        <v>8</v>
      </c>
      <c r="F8" t="s">
        <v>18</v>
      </c>
      <c r="G8">
        <f>AVERAGE(G2:G6)</f>
        <v>12</v>
      </c>
      <c r="H8">
        <f t="shared" ref="H8:I8" si="0">AVERAGE(H2:H6)</f>
        <v>10.4</v>
      </c>
      <c r="I8">
        <f t="shared" si="0"/>
        <v>15.2</v>
      </c>
    </row>
    <row r="9" spans="1:11">
      <c r="A9">
        <v>7</v>
      </c>
      <c r="B9">
        <v>2</v>
      </c>
      <c r="C9" t="s">
        <v>11</v>
      </c>
      <c r="D9">
        <v>9</v>
      </c>
      <c r="F9" t="s">
        <v>19</v>
      </c>
      <c r="G9">
        <f>AVERAGE(G2:I6)</f>
        <v>12.533333333333333</v>
      </c>
    </row>
    <row r="10" spans="1:11">
      <c r="A10">
        <v>8</v>
      </c>
      <c r="B10">
        <v>2</v>
      </c>
      <c r="C10" t="s">
        <v>11</v>
      </c>
      <c r="D10">
        <v>14</v>
      </c>
    </row>
    <row r="11" spans="1:11">
      <c r="A11">
        <v>9</v>
      </c>
      <c r="B11">
        <v>2</v>
      </c>
      <c r="C11" t="s">
        <v>11</v>
      </c>
      <c r="D11">
        <v>11</v>
      </c>
    </row>
    <row r="12" spans="1:11">
      <c r="A12">
        <v>10</v>
      </c>
      <c r="B12">
        <v>2</v>
      </c>
      <c r="C12" t="s">
        <v>11</v>
      </c>
      <c r="D12">
        <v>10</v>
      </c>
    </row>
    <row r="13" spans="1:11">
      <c r="A13">
        <v>11</v>
      </c>
      <c r="B13">
        <v>3</v>
      </c>
      <c r="C13" t="s">
        <v>12</v>
      </c>
      <c r="D13">
        <v>14</v>
      </c>
      <c r="F13" t="s">
        <v>16</v>
      </c>
      <c r="G13" t="s">
        <v>17</v>
      </c>
      <c r="H13">
        <f>5*(G9-G8)^2</f>
        <v>1.4222222222222216</v>
      </c>
      <c r="J13" t="s">
        <v>21</v>
      </c>
    </row>
    <row r="14" spans="1:11">
      <c r="A14">
        <v>12</v>
      </c>
      <c r="B14">
        <v>3</v>
      </c>
      <c r="C14" t="s">
        <v>12</v>
      </c>
      <c r="D14">
        <v>15</v>
      </c>
      <c r="G14" t="s">
        <v>14</v>
      </c>
      <c r="H14">
        <f>5*(G9-H8)^2</f>
        <v>22.755555555555546</v>
      </c>
    </row>
    <row r="15" spans="1:11">
      <c r="A15">
        <v>13</v>
      </c>
      <c r="B15">
        <v>3</v>
      </c>
      <c r="C15" t="s">
        <v>12</v>
      </c>
      <c r="D15">
        <v>16</v>
      </c>
      <c r="G15" t="s">
        <v>15</v>
      </c>
      <c r="H15">
        <f>5*(G9-I8)^2</f>
        <v>35.555555555555543</v>
      </c>
    </row>
    <row r="16" spans="1:11">
      <c r="A16">
        <v>14</v>
      </c>
      <c r="B16">
        <v>3</v>
      </c>
      <c r="C16" t="s">
        <v>12</v>
      </c>
      <c r="D16">
        <v>14</v>
      </c>
      <c r="F16" t="s">
        <v>21</v>
      </c>
      <c r="H16">
        <f>SUM(H13:H15)</f>
        <v>59.733333333333306</v>
      </c>
    </row>
    <row r="17" spans="1:9">
      <c r="A17" s="2">
        <v>15</v>
      </c>
      <c r="B17" s="2">
        <v>3</v>
      </c>
      <c r="C17" s="2" t="s">
        <v>12</v>
      </c>
      <c r="D17" s="2">
        <v>17</v>
      </c>
      <c r="F17" t="s">
        <v>20</v>
      </c>
      <c r="G17" t="s">
        <v>17</v>
      </c>
      <c r="H17">
        <f>(G2-G8)^2+(G3-G8)^2+(G4-G8)^2+(G5-G8)^2+(G6-G8)^2</f>
        <v>40</v>
      </c>
    </row>
    <row r="18" spans="1:9">
      <c r="G18" t="s">
        <v>14</v>
      </c>
      <c r="H18">
        <f>(H8-H2)^2+(H8-H3)^2+(H8-H4)^2+(H8-H5)^2+(H8-H6)^2</f>
        <v>21.2</v>
      </c>
    </row>
    <row r="19" spans="1:9">
      <c r="G19" t="s">
        <v>15</v>
      </c>
      <c r="H19">
        <f>(I8-I2)^2+(I8-I3)^2+(I8-I4)^2+(I8-I5)^2+(I8-I6)^2</f>
        <v>6.8000000000000007</v>
      </c>
    </row>
    <row r="20" spans="1:9">
      <c r="H20">
        <f>SUM(H17:H19)</f>
        <v>68</v>
      </c>
    </row>
    <row r="22" spans="1:9">
      <c r="F22" t="s">
        <v>22</v>
      </c>
      <c r="G22" t="s">
        <v>17</v>
      </c>
      <c r="H22">
        <f>(G2-G9)^2+(G3-G9)^2+(G4-G9)^2+(G5-G9)^2+(G6-G9)^2</f>
        <v>41.422222222222217</v>
      </c>
    </row>
    <row r="23" spans="1:9">
      <c r="G23" t="s">
        <v>14</v>
      </c>
      <c r="H23">
        <f>(H2-$G$9)^2+(H3-$G$9)^2+(H4-$G$9)^2+(H5-$G$9)^2+(H6-$G$9)^2</f>
        <v>43.955555555555556</v>
      </c>
    </row>
    <row r="24" spans="1:9">
      <c r="G24" t="s">
        <v>15</v>
      </c>
      <c r="H24">
        <f>(I2-$G$9)^2+(I3-$G$9)^2+(I4-$G$9)^2+(I5-$G$9)^2+(I6-$G$9)^2</f>
        <v>42.355555555555561</v>
      </c>
    </row>
    <row r="25" spans="1:9">
      <c r="H25">
        <f>SUM(H22:H24)</f>
        <v>127.73333333333332</v>
      </c>
    </row>
    <row r="28" spans="1:9">
      <c r="F28">
        <v>59.733333333333306</v>
      </c>
      <c r="G28">
        <v>2</v>
      </c>
      <c r="H28">
        <f>F28/G28</f>
        <v>29.866666666666653</v>
      </c>
      <c r="I28">
        <f>H28/H29</f>
        <v>5.2705882352941149</v>
      </c>
    </row>
    <row r="29" spans="1:9">
      <c r="F29">
        <v>68</v>
      </c>
      <c r="G29">
        <v>12</v>
      </c>
      <c r="H29">
        <f t="shared" ref="H29:H30" si="1">F29/G29</f>
        <v>5.666666666666667</v>
      </c>
    </row>
    <row r="30" spans="1:9">
      <c r="F30">
        <v>127.73333333333332</v>
      </c>
      <c r="G30">
        <v>14</v>
      </c>
      <c r="H30">
        <f t="shared" si="1"/>
        <v>9.1238095238095234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jung choi</dc:creator>
  <cp:lastModifiedBy>su jung choi</cp:lastModifiedBy>
  <dcterms:created xsi:type="dcterms:W3CDTF">2024-08-21T04:53:34Z</dcterms:created>
  <dcterms:modified xsi:type="dcterms:W3CDTF">2024-09-12T05:40:28Z</dcterms:modified>
</cp:coreProperties>
</file>